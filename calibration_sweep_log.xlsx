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D:\Music\Downloads\"/>
    </mc:Choice>
  </mc:AlternateContent>
  <xr:revisionPtr revIDLastSave="0" documentId="13_ncr:1_{897D8B19-6B73-4698-86B3-9512191DB9CD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Instructions" sheetId="1" r:id="rId1"/>
    <sheet name="Raw Readings" sheetId="2" r:id="rId2"/>
    <sheet name="Calibration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3" l="1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I20" i="2"/>
  <c r="H20" i="2"/>
  <c r="M20" i="2" s="1"/>
  <c r="G20" i="2"/>
  <c r="J20" i="2" s="1"/>
  <c r="I19" i="2"/>
  <c r="H19" i="2"/>
  <c r="M19" i="2" s="1"/>
  <c r="G19" i="2"/>
  <c r="K19" i="2" s="1"/>
  <c r="I18" i="2"/>
  <c r="H18" i="2"/>
  <c r="C19" i="3" s="1"/>
  <c r="G18" i="2"/>
  <c r="D19" i="3" s="1"/>
  <c r="I17" i="2"/>
  <c r="H17" i="2"/>
  <c r="L17" i="2" s="1"/>
  <c r="G17" i="2"/>
  <c r="D18" i="3" s="1"/>
  <c r="I16" i="2"/>
  <c r="H16" i="2"/>
  <c r="C17" i="3" s="1"/>
  <c r="G16" i="2"/>
  <c r="D17" i="3" s="1"/>
  <c r="I15" i="2"/>
  <c r="H15" i="2"/>
  <c r="C16" i="3" s="1"/>
  <c r="G15" i="2"/>
  <c r="J15" i="2" s="1"/>
  <c r="I14" i="2"/>
  <c r="H14" i="2"/>
  <c r="C15" i="3" s="1"/>
  <c r="G14" i="2"/>
  <c r="D15" i="3" s="1"/>
  <c r="I13" i="2"/>
  <c r="H13" i="2"/>
  <c r="C14" i="3" s="1"/>
  <c r="G13" i="2"/>
  <c r="D14" i="3" s="1"/>
  <c r="I12" i="2"/>
  <c r="H12" i="2"/>
  <c r="M12" i="2" s="1"/>
  <c r="G12" i="2"/>
  <c r="D12" i="3" s="1"/>
  <c r="I11" i="2"/>
  <c r="H11" i="2"/>
  <c r="L11" i="2" s="1"/>
  <c r="G11" i="2"/>
  <c r="J11" i="2" s="1"/>
  <c r="I10" i="2"/>
  <c r="H10" i="2"/>
  <c r="C10" i="3" s="1"/>
  <c r="G10" i="2"/>
  <c r="D10" i="3" s="1"/>
  <c r="I9" i="2"/>
  <c r="H9" i="2"/>
  <c r="L9" i="2" s="1"/>
  <c r="G9" i="2"/>
  <c r="D9" i="3" s="1"/>
  <c r="I8" i="2"/>
  <c r="H8" i="2"/>
  <c r="C8" i="3" s="1"/>
  <c r="G8" i="2"/>
  <c r="K8" i="2" s="1"/>
  <c r="I7" i="2"/>
  <c r="H7" i="2"/>
  <c r="M7" i="2" s="1"/>
  <c r="G7" i="2"/>
  <c r="J7" i="2" s="1"/>
  <c r="I6" i="2"/>
  <c r="H6" i="2"/>
  <c r="C6" i="3" s="1"/>
  <c r="G6" i="2"/>
  <c r="D6" i="3" s="1"/>
  <c r="I5" i="2"/>
  <c r="H5" i="2"/>
  <c r="C5" i="3" s="1"/>
  <c r="G5" i="2"/>
  <c r="D5" i="3" s="1"/>
  <c r="I4" i="2"/>
  <c r="H4" i="2"/>
  <c r="M4" i="2" s="1"/>
  <c r="G4" i="2"/>
  <c r="K4" i="2" s="1"/>
  <c r="M16" i="2" l="1"/>
  <c r="L16" i="2"/>
  <c r="D7" i="3"/>
  <c r="J12" i="2"/>
  <c r="K12" i="2"/>
  <c r="J19" i="2"/>
  <c r="C11" i="3"/>
  <c r="K17" i="2"/>
  <c r="M9" i="2"/>
  <c r="C9" i="3"/>
  <c r="K7" i="2"/>
  <c r="L7" i="2"/>
  <c r="C7" i="3"/>
  <c r="M14" i="2"/>
  <c r="J14" i="2"/>
  <c r="K14" i="2"/>
  <c r="L14" i="2"/>
  <c r="J5" i="2"/>
  <c r="K5" i="2"/>
  <c r="L5" i="2"/>
  <c r="M5" i="2"/>
  <c r="C20" i="3"/>
  <c r="M10" i="2"/>
  <c r="J4" i="2"/>
  <c r="L6" i="2"/>
  <c r="K13" i="2"/>
  <c r="D11" i="3"/>
  <c r="D20" i="3"/>
  <c r="L8" i="2"/>
  <c r="M17" i="2"/>
  <c r="K6" i="2"/>
  <c r="J13" i="2"/>
  <c r="L13" i="2"/>
  <c r="K11" i="2"/>
  <c r="C21" i="3"/>
  <c r="J6" i="2"/>
  <c r="K15" i="2"/>
  <c r="K20" i="2"/>
  <c r="D21" i="3"/>
  <c r="M8" i="2"/>
  <c r="L15" i="2"/>
  <c r="M6" i="2"/>
  <c r="M13" i="2"/>
  <c r="K9" i="2"/>
  <c r="M11" i="2"/>
  <c r="J16" i="2"/>
  <c r="L18" i="2"/>
  <c r="L10" i="2"/>
  <c r="M15" i="2"/>
  <c r="L4" i="2"/>
  <c r="J18" i="2"/>
  <c r="L20" i="2"/>
  <c r="C12" i="3"/>
  <c r="J9" i="2"/>
  <c r="K18" i="2"/>
  <c r="K16" i="2"/>
  <c r="M18" i="2"/>
  <c r="D16" i="3"/>
  <c r="J10" i="2"/>
  <c r="L12" i="2"/>
  <c r="C43" i="3"/>
  <c r="K10" i="2"/>
  <c r="J17" i="2"/>
  <c r="L19" i="2"/>
  <c r="D8" i="3"/>
  <c r="J8" i="2"/>
  <c r="C18" i="3"/>
  <c r="D35" i="3" l="1"/>
  <c r="D36" i="3"/>
  <c r="B35" i="3"/>
  <c r="C35" i="3"/>
  <c r="B36" i="3"/>
  <c r="C36" i="3"/>
  <c r="C42" i="3" l="1"/>
  <c r="C41" i="3"/>
</calcChain>
</file>

<file path=xl/sharedStrings.xml><?xml version="1.0" encoding="utf-8"?>
<sst xmlns="http://schemas.openxmlformats.org/spreadsheetml/2006/main" count="104" uniqueCount="57">
  <si>
    <t>RCWL-1601 Ultrasonic Sensor Calibration Sweep</t>
  </si>
  <si>
    <t>Purpose</t>
  </si>
  <si>
    <t>Log raw sensor readings at known tape-measured distances so we can (1) find the real</t>
  </si>
  <si>
    <t>usable near/far range, (2) size a noise filter, and (3) fit a calibration correction</t>
  </si>
  <si>
    <t>(actual = slope x raw + intercept) instead of trusting raw mm values as-is.</t>
  </si>
  <si>
    <t>How to log data (Raw Readings tab)</t>
  </si>
  <si>
    <t>1. Place a flat target (a board reads more consistently than a hand) at each tape-</t>
  </si>
  <si>
    <t xml:space="preserve">   measured Target Distance already listed in column C.</t>
  </si>
  <si>
    <t xml:space="preserve">   combined average. That is the main gap in the data collected so far.</t>
  </si>
  <si>
    <t>3. At each distance, take 15-20 raw readings from the serial monitor while the target</t>
  </si>
  <si>
    <t xml:space="preserve">   sits still, and type them into the Trial 1, Trial 2, ... columns (yellow cells).</t>
  </si>
  <si>
    <t>4. Count / Mean / Std Dev / Min / Max / Error columns calculate automatically.</t>
  </si>
  <si>
    <t xml:space="preserve">   that tells us where the real usable range ends.</t>
  </si>
  <si>
    <t>6. Add more rows the same way for additional boxes, or extra distances of interest.</t>
  </si>
  <si>
    <t>Calibration Summary tab</t>
  </si>
  <si>
    <t>Pulls the per-distance mean automatically from Raw Readings and fits a linear</t>
  </si>
  <si>
    <t>calibration (slope + intercept) per sensor once you have at least 2-3 distances logged.</t>
  </si>
  <si>
    <t>A quick calculator at the bottom converts a new raw reading to a calibrated distance.</t>
  </si>
  <si>
    <t>Anchor Positions tab</t>
  </si>
  <si>
    <t>Tape-measured (x, y) position of each sensor box in the room, needed later for 2D</t>
  </si>
  <si>
    <t>Color legend</t>
  </si>
  <si>
    <t>Yellow fill = cells you fill in</t>
  </si>
  <si>
    <t>Blue text = example / sample data (replace or delete)</t>
  </si>
  <si>
    <t>Black text = calculated automatically, do not overwrite</t>
  </si>
  <si>
    <t>Box ID</t>
  </si>
  <si>
    <t>Sensor</t>
  </si>
  <si>
    <t>Target Distance (mm)</t>
  </si>
  <si>
    <t>Trial 1</t>
  </si>
  <si>
    <t>Trial 2</t>
  </si>
  <si>
    <t>Trial 3</t>
  </si>
  <si>
    <t>Count</t>
  </si>
  <si>
    <t>Mean (mm)</t>
  </si>
  <si>
    <t>Std Dev (mm)</t>
  </si>
  <si>
    <t>Min (mm)</t>
  </si>
  <si>
    <t>Max (mm)</t>
  </si>
  <si>
    <t>Error (mm)</t>
  </si>
  <si>
    <t>Error (%)</t>
  </si>
  <si>
    <t>EXAMPLE</t>
  </si>
  <si>
    <t>Left (d1)</t>
  </si>
  <si>
    <t>Right (d2)</t>
  </si>
  <si>
    <t>Mean Raw Reading (mm)</t>
  </si>
  <si>
    <t>Samples Logged (n)</t>
  </si>
  <si>
    <t>Combined (avg)</t>
  </si>
  <si>
    <t>Linear Calibration Fit (actual = slope x raw + intercept)</t>
  </si>
  <si>
    <t>Slope</t>
  </si>
  <si>
    <t>Intercept (mm)</t>
  </si>
  <si>
    <t>R-squared</t>
  </si>
  <si>
    <t>Quick Calibration Calculator</t>
  </si>
  <si>
    <t>Enter Raw Reading (mm)</t>
  </si>
  <si>
    <t>Calibrated Distance (mm)</t>
  </si>
  <si>
    <t>Calibration</t>
  </si>
  <si>
    <t>Sensor Log</t>
  </si>
  <si>
    <t xml:space="preserve"> </t>
  </si>
  <si>
    <t>Group 11 - ENGG3000</t>
  </si>
  <si>
    <t>2. Test each sensor (Left / d1 and Right / d2) INDIVIDUALLY, do not just log the</t>
  </si>
  <si>
    <t xml:space="preserve">5. If a sensor times out (-1) or clearly misreads at some distance, still log it, </t>
  </si>
  <si>
    <t>trilateration, separate from the accuracy sweep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</si>
</sst>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sz val="11"/>
      <color rgb="FF000000"/>
      <name val="Arial"/>
    </font>
    <font>
      <sz val="11"/>
      <color rgb="FF0000FF"/>
      <name val="Arial"/>
    </font>
    <font>
      <i/>
      <sz val="11"/>
      <name val="Arial"/>
    </font>
    <font>
      <b/>
      <sz val="11"/>
      <color rgb="FFFFFFFF"/>
      <name val="Arial"/>
    </font>
    <font>
      <i/>
      <sz val="11"/>
      <color rgb="FF0000FF"/>
      <name val="Arial"/>
    </font>
    <font>
      <b/>
      <i/>
      <sz val="11"/>
      <color rgb="FF0000FF"/>
      <name val="Arial"/>
    </font>
    <font>
      <u/>
      <sz val="1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05496"/>
        <bgColor rgb="FF305496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8" fillId="4" borderId="1" xfId="0" applyFont="1" applyFill="1" applyBorder="1"/>
    <xf numFmtId="1" fontId="0" fillId="4" borderId="1" xfId="0" applyNumberFormat="1" applyFill="1" applyBorder="1"/>
    <xf numFmtId="165" fontId="0" fillId="4" borderId="1" xfId="0" applyNumberFormat="1" applyFill="1" applyBorder="1"/>
    <xf numFmtId="164" fontId="0" fillId="4" borderId="1" xfId="0" applyNumberFormat="1" applyFill="1" applyBorder="1"/>
    <xf numFmtId="0" fontId="0" fillId="0" borderId="1" xfId="0" applyBorder="1"/>
    <xf numFmtId="0" fontId="4" fillId="2" borderId="1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0" fontId="7" fillId="3" borderId="1" xfId="0" applyFont="1" applyFill="1" applyBorder="1"/>
    <xf numFmtId="166" fontId="0" fillId="0" borderId="1" xfId="0" applyNumberFormat="1" applyBorder="1"/>
    <xf numFmtId="0" fontId="0" fillId="2" borderId="1" xfId="0" applyFill="1" applyBorder="1"/>
    <xf numFmtId="0" fontId="4" fillId="2" borderId="2" xfId="0" applyFont="1" applyFill="1" applyBorder="1"/>
    <xf numFmtId="0" fontId="1" fillId="0" borderId="0" xfId="0" applyFont="1"/>
    <xf numFmtId="0" fontId="0" fillId="0" borderId="0" xfId="0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showGridLines="0" workbookViewId="0">
      <selection activeCell="B15" sqref="B15"/>
    </sheetView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5" t="s">
        <v>53</v>
      </c>
    </row>
    <row r="3" spans="1:1" x14ac:dyDescent="0.25">
      <c r="A3" s="3" t="s">
        <v>1</v>
      </c>
    </row>
    <row r="4" spans="1:1" x14ac:dyDescent="0.25">
      <c r="A4" s="4" t="s">
        <v>2</v>
      </c>
    </row>
    <row r="5" spans="1:1" x14ac:dyDescent="0.25">
      <c r="A5" s="4" t="s">
        <v>3</v>
      </c>
    </row>
    <row r="6" spans="1:1" x14ac:dyDescent="0.25">
      <c r="A6" s="4" t="s">
        <v>4</v>
      </c>
    </row>
    <row r="7" spans="1:1" x14ac:dyDescent="0.25">
      <c r="A7" s="2"/>
    </row>
    <row r="8" spans="1:1" x14ac:dyDescent="0.25">
      <c r="A8" s="3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26" t="s">
        <v>54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26" t="s">
        <v>55</v>
      </c>
    </row>
    <row r="17" spans="1:1" x14ac:dyDescent="0.25">
      <c r="A17" s="4" t="s">
        <v>12</v>
      </c>
    </row>
    <row r="18" spans="1:1" x14ac:dyDescent="0.25">
      <c r="A18" s="4" t="s">
        <v>13</v>
      </c>
    </row>
    <row r="19" spans="1:1" x14ac:dyDescent="0.25">
      <c r="A19" s="2"/>
    </row>
    <row r="20" spans="1:1" x14ac:dyDescent="0.25">
      <c r="A20" s="3" t="s">
        <v>14</v>
      </c>
    </row>
    <row r="21" spans="1:1" x14ac:dyDescent="0.25">
      <c r="A21" s="4" t="s">
        <v>15</v>
      </c>
    </row>
    <row r="22" spans="1:1" x14ac:dyDescent="0.25">
      <c r="A22" s="4" t="s">
        <v>16</v>
      </c>
    </row>
    <row r="23" spans="1:1" x14ac:dyDescent="0.25">
      <c r="A23" s="4" t="s">
        <v>17</v>
      </c>
    </row>
    <row r="24" spans="1:1" x14ac:dyDescent="0.25">
      <c r="A24" s="2"/>
    </row>
    <row r="25" spans="1:1" x14ac:dyDescent="0.25">
      <c r="A25" s="3" t="s">
        <v>18</v>
      </c>
    </row>
    <row r="26" spans="1:1" x14ac:dyDescent="0.25">
      <c r="A26" s="4" t="s">
        <v>19</v>
      </c>
    </row>
    <row r="27" spans="1:1" x14ac:dyDescent="0.25">
      <c r="A27" s="26" t="s">
        <v>56</v>
      </c>
    </row>
    <row r="28" spans="1:1" x14ac:dyDescent="0.25">
      <c r="A28" s="2"/>
    </row>
    <row r="29" spans="1:1" x14ac:dyDescent="0.25">
      <c r="A29" s="5" t="s">
        <v>20</v>
      </c>
    </row>
    <row r="30" spans="1:1" x14ac:dyDescent="0.25">
      <c r="A30" s="6" t="s">
        <v>21</v>
      </c>
    </row>
    <row r="31" spans="1:1" x14ac:dyDescent="0.25">
      <c r="A31" s="2" t="s">
        <v>22</v>
      </c>
    </row>
    <row r="32" spans="1:1" x14ac:dyDescent="0.25">
      <c r="A32" s="2" t="s">
        <v>23</v>
      </c>
    </row>
  </sheetData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showGridLines="0" workbookViewId="0">
      <pane xSplit="3" ySplit="3" topLeftCell="D6" activePane="bottomRight" state="frozen"/>
      <selection pane="topRight"/>
      <selection pane="bottomLeft"/>
      <selection pane="bottomRight" activeCell="H28" sqref="H28"/>
    </sheetView>
  </sheetViews>
  <sheetFormatPr defaultRowHeight="15" x14ac:dyDescent="0.25"/>
  <cols>
    <col min="1" max="1" width="10" customWidth="1"/>
    <col min="2" max="2" width="13" customWidth="1"/>
    <col min="3" max="3" width="16" customWidth="1"/>
    <col min="4" max="7" width="8" customWidth="1"/>
    <col min="8" max="8" width="10" customWidth="1"/>
    <col min="9" max="9" width="11" customWidth="1"/>
    <col min="10" max="11" width="9" customWidth="1"/>
    <col min="12" max="13" width="10" customWidth="1"/>
  </cols>
  <sheetData>
    <row r="1" spans="1:13" ht="18" x14ac:dyDescent="0.25">
      <c r="A1" s="23" t="s">
        <v>51</v>
      </c>
      <c r="B1" s="24"/>
      <c r="C1" s="24"/>
      <c r="D1" s="24"/>
      <c r="E1" s="24"/>
      <c r="F1" s="24"/>
    </row>
    <row r="2" spans="1:13" x14ac:dyDescent="0.25">
      <c r="A2" s="7"/>
    </row>
    <row r="3" spans="1:13" ht="30" x14ac:dyDescent="0.25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</row>
    <row r="4" spans="1:13" x14ac:dyDescent="0.25">
      <c r="A4" s="9" t="s">
        <v>37</v>
      </c>
      <c r="B4" s="10" t="s">
        <v>38</v>
      </c>
      <c r="C4" s="10">
        <v>100</v>
      </c>
      <c r="D4" s="10">
        <v>96</v>
      </c>
      <c r="E4" s="10">
        <v>98</v>
      </c>
      <c r="F4" s="10">
        <v>101</v>
      </c>
      <c r="G4" s="11">
        <f t="shared" ref="G4:G20" si="0">COUNT(D4:F4)</f>
        <v>3</v>
      </c>
      <c r="H4" s="12">
        <f t="shared" ref="H4:H20" si="1">IFERROR(AVERAGE(D4:F4),"")</f>
        <v>98.333333333333329</v>
      </c>
      <c r="I4" s="12">
        <f t="shared" ref="I4:I20" si="2">IFERROR(STDEV(D4:F4),"")</f>
        <v>2.5166114784235836</v>
      </c>
      <c r="J4" s="12">
        <f t="shared" ref="J4:J20" si="3">IF(G4=0,"",MIN(D4:F4))</f>
        <v>96</v>
      </c>
      <c r="K4" s="12">
        <f t="shared" ref="K4:K20" si="4">IF(G4=0,"",MAX(D4:F4))</f>
        <v>101</v>
      </c>
      <c r="L4" s="12">
        <f t="shared" ref="L4:L20" si="5">IFERROR(H4-C4,"")</f>
        <v>-1.6666666666666714</v>
      </c>
      <c r="M4" s="13">
        <f t="shared" ref="M4:M20" si="6">IFERROR((H4-C4)/C4,"")</f>
        <v>-1.6666666666666715E-2</v>
      </c>
    </row>
    <row r="5" spans="1:13" x14ac:dyDescent="0.25">
      <c r="A5" s="14">
        <v>1</v>
      </c>
      <c r="B5" s="14" t="s">
        <v>38</v>
      </c>
      <c r="C5" s="14">
        <v>100</v>
      </c>
      <c r="D5" s="15">
        <v>70</v>
      </c>
      <c r="E5" s="15">
        <v>109</v>
      </c>
      <c r="F5" s="15">
        <v>96</v>
      </c>
      <c r="G5" s="16">
        <f t="shared" si="0"/>
        <v>3</v>
      </c>
      <c r="H5" s="17">
        <f t="shared" si="1"/>
        <v>91.666666666666671</v>
      </c>
      <c r="I5" s="17">
        <f t="shared" si="2"/>
        <v>19.857828011475323</v>
      </c>
      <c r="J5" s="17">
        <f t="shared" si="3"/>
        <v>70</v>
      </c>
      <c r="K5" s="17">
        <f t="shared" si="4"/>
        <v>109</v>
      </c>
      <c r="L5" s="17">
        <f t="shared" si="5"/>
        <v>-8.3333333333333286</v>
      </c>
      <c r="M5" s="18">
        <f t="shared" si="6"/>
        <v>-8.3333333333333287E-2</v>
      </c>
    </row>
    <row r="6" spans="1:13" x14ac:dyDescent="0.25">
      <c r="A6" s="14">
        <v>1</v>
      </c>
      <c r="B6" s="14" t="s">
        <v>38</v>
      </c>
      <c r="C6" s="14">
        <v>200</v>
      </c>
      <c r="D6" s="15">
        <v>182</v>
      </c>
      <c r="E6" s="15">
        <v>182</v>
      </c>
      <c r="F6" s="15">
        <v>178</v>
      </c>
      <c r="G6" s="16">
        <f t="shared" si="0"/>
        <v>3</v>
      </c>
      <c r="H6" s="17">
        <f t="shared" si="1"/>
        <v>180.66666666666666</v>
      </c>
      <c r="I6" s="17">
        <f t="shared" si="2"/>
        <v>2.3094010767585034</v>
      </c>
      <c r="J6" s="17">
        <f t="shared" si="3"/>
        <v>178</v>
      </c>
      <c r="K6" s="17">
        <f t="shared" si="4"/>
        <v>182</v>
      </c>
      <c r="L6" s="17">
        <f t="shared" si="5"/>
        <v>-19.333333333333343</v>
      </c>
      <c r="M6" s="18">
        <f t="shared" si="6"/>
        <v>-9.666666666666672E-2</v>
      </c>
    </row>
    <row r="7" spans="1:13" x14ac:dyDescent="0.25">
      <c r="A7" s="14">
        <v>1</v>
      </c>
      <c r="B7" s="14" t="s">
        <v>38</v>
      </c>
      <c r="C7" s="14">
        <v>400</v>
      </c>
      <c r="D7" s="15">
        <v>360</v>
      </c>
      <c r="E7" s="15">
        <v>376</v>
      </c>
      <c r="F7" s="15">
        <v>358</v>
      </c>
      <c r="G7" s="16">
        <f t="shared" si="0"/>
        <v>3</v>
      </c>
      <c r="H7" s="17">
        <f t="shared" si="1"/>
        <v>364.66666666666669</v>
      </c>
      <c r="I7" s="17">
        <f t="shared" si="2"/>
        <v>9.8657657246324941</v>
      </c>
      <c r="J7" s="17">
        <f t="shared" si="3"/>
        <v>358</v>
      </c>
      <c r="K7" s="17">
        <f t="shared" si="4"/>
        <v>376</v>
      </c>
      <c r="L7" s="17">
        <f t="shared" si="5"/>
        <v>-35.333333333333314</v>
      </c>
      <c r="M7" s="18">
        <f t="shared" si="6"/>
        <v>-8.8333333333333292E-2</v>
      </c>
    </row>
    <row r="8" spans="1:13" x14ac:dyDescent="0.25">
      <c r="A8" s="14">
        <v>1</v>
      </c>
      <c r="B8" s="14" t="s">
        <v>38</v>
      </c>
      <c r="C8" s="14">
        <v>600</v>
      </c>
      <c r="D8" s="15">
        <v>576</v>
      </c>
      <c r="E8" s="15">
        <v>550</v>
      </c>
      <c r="F8" s="15">
        <v>548</v>
      </c>
      <c r="G8" s="16">
        <f t="shared" si="0"/>
        <v>3</v>
      </c>
      <c r="H8" s="17">
        <f t="shared" si="1"/>
        <v>558</v>
      </c>
      <c r="I8" s="17">
        <f t="shared" si="2"/>
        <v>15.620499351813308</v>
      </c>
      <c r="J8" s="17">
        <f t="shared" si="3"/>
        <v>548</v>
      </c>
      <c r="K8" s="17">
        <f t="shared" si="4"/>
        <v>576</v>
      </c>
      <c r="L8" s="17">
        <f t="shared" si="5"/>
        <v>-42</v>
      </c>
      <c r="M8" s="18">
        <f t="shared" si="6"/>
        <v>-7.0000000000000007E-2</v>
      </c>
    </row>
    <row r="9" spans="1:13" x14ac:dyDescent="0.25">
      <c r="A9" s="14">
        <v>1</v>
      </c>
      <c r="B9" s="14" t="s">
        <v>38</v>
      </c>
      <c r="C9" s="14">
        <v>800</v>
      </c>
      <c r="D9" s="15">
        <v>755</v>
      </c>
      <c r="E9" s="15">
        <v>720</v>
      </c>
      <c r="F9" s="15">
        <v>743</v>
      </c>
      <c r="G9" s="16">
        <f t="shared" si="0"/>
        <v>3</v>
      </c>
      <c r="H9" s="17">
        <f t="shared" si="1"/>
        <v>739.33333333333337</v>
      </c>
      <c r="I9" s="17">
        <f t="shared" si="2"/>
        <v>17.7857620959388</v>
      </c>
      <c r="J9" s="17">
        <f t="shared" si="3"/>
        <v>720</v>
      </c>
      <c r="K9" s="17">
        <f t="shared" si="4"/>
        <v>755</v>
      </c>
      <c r="L9" s="17">
        <f t="shared" si="5"/>
        <v>-60.666666666666629</v>
      </c>
      <c r="M9" s="18">
        <f t="shared" si="6"/>
        <v>-7.583333333333328E-2</v>
      </c>
    </row>
    <row r="10" spans="1:13" x14ac:dyDescent="0.25">
      <c r="A10" s="14">
        <v>1</v>
      </c>
      <c r="B10" s="14" t="s">
        <v>38</v>
      </c>
      <c r="C10" s="14">
        <v>1000</v>
      </c>
      <c r="D10" s="15">
        <v>956</v>
      </c>
      <c r="E10" s="15">
        <v>947</v>
      </c>
      <c r="F10" s="15">
        <v>940</v>
      </c>
      <c r="G10" s="16">
        <f t="shared" si="0"/>
        <v>3</v>
      </c>
      <c r="H10" s="17">
        <f t="shared" si="1"/>
        <v>947.66666666666663</v>
      </c>
      <c r="I10" s="17">
        <f t="shared" si="2"/>
        <v>8.0208062770106441</v>
      </c>
      <c r="J10" s="17">
        <f t="shared" si="3"/>
        <v>940</v>
      </c>
      <c r="K10" s="17">
        <f t="shared" si="4"/>
        <v>956</v>
      </c>
      <c r="L10" s="17">
        <f t="shared" si="5"/>
        <v>-52.333333333333371</v>
      </c>
      <c r="M10" s="18">
        <f t="shared" si="6"/>
        <v>-5.2333333333333371E-2</v>
      </c>
    </row>
    <row r="11" spans="1:13" x14ac:dyDescent="0.25">
      <c r="A11" s="14">
        <v>1</v>
      </c>
      <c r="B11" s="14" t="s">
        <v>38</v>
      </c>
      <c r="C11" s="14">
        <v>1200</v>
      </c>
      <c r="D11" s="15">
        <v>1160</v>
      </c>
      <c r="E11" s="15">
        <v>1185</v>
      </c>
      <c r="F11" s="15">
        <v>1159</v>
      </c>
      <c r="G11" s="16">
        <f t="shared" si="0"/>
        <v>3</v>
      </c>
      <c r="H11" s="17">
        <f t="shared" si="1"/>
        <v>1168</v>
      </c>
      <c r="I11" s="17">
        <f t="shared" si="2"/>
        <v>14.730919862656235</v>
      </c>
      <c r="J11" s="17">
        <f t="shared" si="3"/>
        <v>1159</v>
      </c>
      <c r="K11" s="17">
        <f t="shared" si="4"/>
        <v>1185</v>
      </c>
      <c r="L11" s="17">
        <f t="shared" si="5"/>
        <v>-32</v>
      </c>
      <c r="M11" s="18">
        <f t="shared" si="6"/>
        <v>-2.6666666666666668E-2</v>
      </c>
    </row>
    <row r="12" spans="1:13" x14ac:dyDescent="0.25">
      <c r="A12" s="14">
        <v>1</v>
      </c>
      <c r="B12" s="14" t="s">
        <v>38</v>
      </c>
      <c r="C12" s="14">
        <v>1400</v>
      </c>
      <c r="D12" s="15">
        <v>1331</v>
      </c>
      <c r="E12" s="22">
        <v>1343</v>
      </c>
      <c r="F12" s="15">
        <v>1179</v>
      </c>
      <c r="G12" s="16">
        <f t="shared" si="0"/>
        <v>3</v>
      </c>
      <c r="H12" s="17">
        <f t="shared" si="1"/>
        <v>1284.3333333333333</v>
      </c>
      <c r="I12" s="17">
        <f t="shared" si="2"/>
        <v>91.418451820917056</v>
      </c>
      <c r="J12" s="17">
        <f t="shared" si="3"/>
        <v>1179</v>
      </c>
      <c r="K12" s="17">
        <f t="shared" si="4"/>
        <v>1343</v>
      </c>
      <c r="L12" s="17">
        <f t="shared" si="5"/>
        <v>-115.66666666666674</v>
      </c>
      <c r="M12" s="18">
        <f t="shared" si="6"/>
        <v>-8.2619047619047675E-2</v>
      </c>
    </row>
    <row r="13" spans="1:13" x14ac:dyDescent="0.25">
      <c r="A13" s="14">
        <v>1</v>
      </c>
      <c r="B13" s="14" t="s">
        <v>39</v>
      </c>
      <c r="C13" s="14">
        <v>100</v>
      </c>
      <c r="D13" s="15">
        <v>70</v>
      </c>
      <c r="E13" s="15">
        <v>110</v>
      </c>
      <c r="F13" s="15">
        <v>93</v>
      </c>
      <c r="G13" s="16">
        <f t="shared" si="0"/>
        <v>3</v>
      </c>
      <c r="H13" s="17">
        <f t="shared" si="1"/>
        <v>91</v>
      </c>
      <c r="I13" s="17">
        <f t="shared" si="2"/>
        <v>20.074859899884732</v>
      </c>
      <c r="J13" s="17">
        <f t="shared" si="3"/>
        <v>70</v>
      </c>
      <c r="K13" s="17">
        <f t="shared" si="4"/>
        <v>110</v>
      </c>
      <c r="L13" s="17">
        <f t="shared" si="5"/>
        <v>-9</v>
      </c>
      <c r="M13" s="18">
        <f t="shared" si="6"/>
        <v>-0.09</v>
      </c>
    </row>
    <row r="14" spans="1:13" x14ac:dyDescent="0.25">
      <c r="A14" s="14">
        <v>1</v>
      </c>
      <c r="B14" s="14" t="s">
        <v>39</v>
      </c>
      <c r="C14" s="14">
        <v>200</v>
      </c>
      <c r="D14" s="15">
        <v>179</v>
      </c>
      <c r="E14" s="15">
        <v>179</v>
      </c>
      <c r="F14" s="15">
        <v>182</v>
      </c>
      <c r="G14" s="16">
        <f t="shared" si="0"/>
        <v>3</v>
      </c>
      <c r="H14" s="17">
        <f t="shared" si="1"/>
        <v>180</v>
      </c>
      <c r="I14" s="17">
        <f t="shared" si="2"/>
        <v>1.7320508075688772</v>
      </c>
      <c r="J14" s="17">
        <f t="shared" si="3"/>
        <v>179</v>
      </c>
      <c r="K14" s="17">
        <f t="shared" si="4"/>
        <v>182</v>
      </c>
      <c r="L14" s="17">
        <f t="shared" si="5"/>
        <v>-20</v>
      </c>
      <c r="M14" s="18">
        <f t="shared" si="6"/>
        <v>-0.1</v>
      </c>
    </row>
    <row r="15" spans="1:13" x14ac:dyDescent="0.25">
      <c r="A15" s="14">
        <v>1</v>
      </c>
      <c r="B15" s="14" t="s">
        <v>39</v>
      </c>
      <c r="C15" s="14">
        <v>400</v>
      </c>
      <c r="D15" s="15">
        <v>366</v>
      </c>
      <c r="E15" s="15">
        <v>387</v>
      </c>
      <c r="F15" s="15">
        <v>359</v>
      </c>
      <c r="G15" s="16">
        <f t="shared" si="0"/>
        <v>3</v>
      </c>
      <c r="H15" s="17">
        <f t="shared" si="1"/>
        <v>370.66666666666669</v>
      </c>
      <c r="I15" s="17">
        <f t="shared" si="2"/>
        <v>14.571661996262929</v>
      </c>
      <c r="J15" s="17">
        <f t="shared" si="3"/>
        <v>359</v>
      </c>
      <c r="K15" s="17">
        <f t="shared" si="4"/>
        <v>387</v>
      </c>
      <c r="L15" s="17">
        <f t="shared" si="5"/>
        <v>-29.333333333333314</v>
      </c>
      <c r="M15" s="18">
        <f t="shared" si="6"/>
        <v>-7.3333333333333292E-2</v>
      </c>
    </row>
    <row r="16" spans="1:13" x14ac:dyDescent="0.25">
      <c r="A16" s="14">
        <v>1</v>
      </c>
      <c r="B16" s="14" t="s">
        <v>39</v>
      </c>
      <c r="C16" s="14">
        <v>600</v>
      </c>
      <c r="D16" s="15">
        <v>582</v>
      </c>
      <c r="E16" s="15">
        <v>555</v>
      </c>
      <c r="F16" s="15">
        <v>550</v>
      </c>
      <c r="G16" s="16">
        <f t="shared" si="0"/>
        <v>3</v>
      </c>
      <c r="H16" s="17">
        <f t="shared" si="1"/>
        <v>562.33333333333337</v>
      </c>
      <c r="I16" s="17">
        <f t="shared" si="2"/>
        <v>17.214335111567145</v>
      </c>
      <c r="J16" s="17">
        <f t="shared" si="3"/>
        <v>550</v>
      </c>
      <c r="K16" s="17">
        <f t="shared" si="4"/>
        <v>582</v>
      </c>
      <c r="L16" s="17">
        <f t="shared" si="5"/>
        <v>-37.666666666666629</v>
      </c>
      <c r="M16" s="18">
        <f t="shared" si="6"/>
        <v>-6.277777777777771E-2</v>
      </c>
    </row>
    <row r="17" spans="1:13" x14ac:dyDescent="0.25">
      <c r="A17" s="14">
        <v>1</v>
      </c>
      <c r="B17" s="14" t="s">
        <v>39</v>
      </c>
      <c r="C17" s="14">
        <v>800</v>
      </c>
      <c r="D17" s="15">
        <v>746</v>
      </c>
      <c r="E17" s="15">
        <v>719</v>
      </c>
      <c r="F17" s="15">
        <v>667</v>
      </c>
      <c r="G17" s="16">
        <f t="shared" si="0"/>
        <v>3</v>
      </c>
      <c r="H17" s="17">
        <f t="shared" si="1"/>
        <v>710.66666666666663</v>
      </c>
      <c r="I17" s="17">
        <f t="shared" si="2"/>
        <v>40.153870714208033</v>
      </c>
      <c r="J17" s="17">
        <f t="shared" si="3"/>
        <v>667</v>
      </c>
      <c r="K17" s="17">
        <f t="shared" si="4"/>
        <v>746</v>
      </c>
      <c r="L17" s="17">
        <f t="shared" si="5"/>
        <v>-89.333333333333371</v>
      </c>
      <c r="M17" s="18">
        <f t="shared" si="6"/>
        <v>-0.11166666666666672</v>
      </c>
    </row>
    <row r="18" spans="1:13" x14ac:dyDescent="0.25">
      <c r="A18" s="14">
        <v>1</v>
      </c>
      <c r="B18" s="14" t="s">
        <v>39</v>
      </c>
      <c r="C18" s="14">
        <v>1000</v>
      </c>
      <c r="D18" s="15">
        <v>949</v>
      </c>
      <c r="E18" s="15">
        <v>967</v>
      </c>
      <c r="F18" s="15">
        <v>900</v>
      </c>
      <c r="G18" s="16">
        <f t="shared" si="0"/>
        <v>3</v>
      </c>
      <c r="H18" s="17">
        <f t="shared" si="1"/>
        <v>938.66666666666663</v>
      </c>
      <c r="I18" s="17">
        <f t="shared" si="2"/>
        <v>34.674678561355591</v>
      </c>
      <c r="J18" s="17">
        <f t="shared" si="3"/>
        <v>900</v>
      </c>
      <c r="K18" s="17">
        <f t="shared" si="4"/>
        <v>967</v>
      </c>
      <c r="L18" s="17">
        <f t="shared" si="5"/>
        <v>-61.333333333333371</v>
      </c>
      <c r="M18" s="18">
        <f t="shared" si="6"/>
        <v>-6.1333333333333372E-2</v>
      </c>
    </row>
    <row r="19" spans="1:13" x14ac:dyDescent="0.25">
      <c r="A19" s="14">
        <v>1</v>
      </c>
      <c r="B19" s="14" t="s">
        <v>39</v>
      </c>
      <c r="C19" s="14">
        <v>1200</v>
      </c>
      <c r="D19" s="15">
        <v>770</v>
      </c>
      <c r="E19" s="15">
        <v>1297</v>
      </c>
      <c r="F19" s="15">
        <v>1153</v>
      </c>
      <c r="G19" s="16">
        <f t="shared" si="0"/>
        <v>3</v>
      </c>
      <c r="H19" s="17">
        <f t="shared" si="1"/>
        <v>1073.3333333333333</v>
      </c>
      <c r="I19" s="17">
        <f t="shared" si="2"/>
        <v>272.38269646461254</v>
      </c>
      <c r="J19" s="17">
        <f t="shared" si="3"/>
        <v>770</v>
      </c>
      <c r="K19" s="17">
        <f t="shared" si="4"/>
        <v>1297</v>
      </c>
      <c r="L19" s="17">
        <f t="shared" si="5"/>
        <v>-126.66666666666674</v>
      </c>
      <c r="M19" s="18">
        <f t="shared" si="6"/>
        <v>-0.10555555555555562</v>
      </c>
    </row>
    <row r="20" spans="1:13" x14ac:dyDescent="0.25">
      <c r="A20" s="14">
        <v>1</v>
      </c>
      <c r="B20" s="14" t="s">
        <v>39</v>
      </c>
      <c r="C20" s="14">
        <v>1400</v>
      </c>
      <c r="D20" s="15">
        <v>1337</v>
      </c>
      <c r="E20" s="22">
        <v>1345</v>
      </c>
      <c r="F20" s="15">
        <v>1158</v>
      </c>
      <c r="G20" s="16">
        <f t="shared" si="0"/>
        <v>3</v>
      </c>
      <c r="H20" s="17">
        <f t="shared" si="1"/>
        <v>1280</v>
      </c>
      <c r="I20" s="17">
        <f t="shared" si="2"/>
        <v>105.73079021741964</v>
      </c>
      <c r="J20" s="17">
        <f t="shared" si="3"/>
        <v>1158</v>
      </c>
      <c r="K20" s="17">
        <f t="shared" si="4"/>
        <v>1345</v>
      </c>
      <c r="L20" s="17">
        <f t="shared" si="5"/>
        <v>-120</v>
      </c>
      <c r="M20" s="18">
        <f t="shared" si="6"/>
        <v>-8.5714285714285715E-2</v>
      </c>
    </row>
    <row r="24" spans="1:13" x14ac:dyDescent="0.25">
      <c r="G24" t="s">
        <v>52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showGridLines="0" tabSelected="1" workbookViewId="0">
      <selection activeCell="D46" sqref="D46"/>
    </sheetView>
  </sheetViews>
  <sheetFormatPr defaultRowHeight="15" x14ac:dyDescent="0.25"/>
  <cols>
    <col min="1" max="1" width="15" customWidth="1"/>
    <col min="2" max="3" width="20" customWidth="1"/>
    <col min="4" max="4" width="14" customWidth="1"/>
  </cols>
  <sheetData>
    <row r="1" spans="1:4" ht="18" x14ac:dyDescent="0.25">
      <c r="A1" s="23" t="s">
        <v>50</v>
      </c>
      <c r="B1" s="24"/>
      <c r="C1" s="24"/>
      <c r="D1" s="24"/>
    </row>
    <row r="2" spans="1:4" x14ac:dyDescent="0.25">
      <c r="A2" s="7"/>
    </row>
    <row r="4" spans="1:4" ht="30" x14ac:dyDescent="0.25">
      <c r="A4" s="8" t="s">
        <v>25</v>
      </c>
      <c r="B4" s="8" t="s">
        <v>26</v>
      </c>
      <c r="C4" s="8" t="s">
        <v>40</v>
      </c>
      <c r="D4" s="8" t="s">
        <v>41</v>
      </c>
    </row>
    <row r="5" spans="1:4" x14ac:dyDescent="0.25">
      <c r="A5" s="14" t="s">
        <v>38</v>
      </c>
      <c r="B5" s="14">
        <v>100</v>
      </c>
      <c r="C5" s="17">
        <f>IFERROR(AVERAGEIFS('Raw Readings'!$H$5:$H$20,'Raw Readings'!$B$5:$B$20,A5,'Raw Readings'!$C$5:$C$20,B5),"")</f>
        <v>91.666666666666671</v>
      </c>
      <c r="D5" s="14">
        <f>IFERROR(SUMIFS('Raw Readings'!$G$5:$G$20,'Raw Readings'!$B$5:$B$20,A5,'Raw Readings'!$C$5:$C$20,B5),0)</f>
        <v>3</v>
      </c>
    </row>
    <row r="6" spans="1:4" x14ac:dyDescent="0.25">
      <c r="A6" s="14" t="s">
        <v>38</v>
      </c>
      <c r="B6" s="14">
        <v>200</v>
      </c>
      <c r="C6" s="17">
        <f>IFERROR(AVERAGEIFS('Raw Readings'!$H$5:$H$20,'Raw Readings'!$B$5:$B$20,A6,'Raw Readings'!$C$5:$C$20,B6),"")</f>
        <v>180.66666666666666</v>
      </c>
      <c r="D6" s="14">
        <f>IFERROR(SUMIFS('Raw Readings'!$G$5:$G$20,'Raw Readings'!$B$5:$B$20,A6,'Raw Readings'!$C$5:$C$20,B6),0)</f>
        <v>3</v>
      </c>
    </row>
    <row r="7" spans="1:4" x14ac:dyDescent="0.25">
      <c r="A7" s="14" t="s">
        <v>38</v>
      </c>
      <c r="B7" s="14">
        <v>400</v>
      </c>
      <c r="C7" s="17">
        <f>IFERROR(AVERAGEIFS('Raw Readings'!$H$5:$H$20,'Raw Readings'!$B$5:$B$20,A7,'Raw Readings'!$C$5:$C$20,B7),"")</f>
        <v>364.66666666666669</v>
      </c>
      <c r="D7" s="14">
        <f>IFERROR(SUMIFS('Raw Readings'!$G$5:$G$20,'Raw Readings'!$B$5:$B$20,A7,'Raw Readings'!$C$5:$C$20,B7),0)</f>
        <v>3</v>
      </c>
    </row>
    <row r="8" spans="1:4" x14ac:dyDescent="0.25">
      <c r="A8" s="14" t="s">
        <v>38</v>
      </c>
      <c r="B8" s="14">
        <v>600</v>
      </c>
      <c r="C8" s="17">
        <f>IFERROR(AVERAGEIFS('Raw Readings'!$H$5:$H$20,'Raw Readings'!$B$5:$B$20,A8,'Raw Readings'!$C$5:$C$20,B8),"")</f>
        <v>558</v>
      </c>
      <c r="D8" s="14">
        <f>IFERROR(SUMIFS('Raw Readings'!$G$5:$G$20,'Raw Readings'!$B$5:$B$20,A8,'Raw Readings'!$C$5:$C$20,B8),0)</f>
        <v>3</v>
      </c>
    </row>
    <row r="9" spans="1:4" x14ac:dyDescent="0.25">
      <c r="A9" s="14" t="s">
        <v>38</v>
      </c>
      <c r="B9" s="14">
        <v>800</v>
      </c>
      <c r="C9" s="17">
        <f>IFERROR(AVERAGEIFS('Raw Readings'!$H$5:$H$20,'Raw Readings'!$B$5:$B$20,A9,'Raw Readings'!$C$5:$C$20,B9),"")</f>
        <v>739.33333333333337</v>
      </c>
      <c r="D9" s="14">
        <f>IFERROR(SUMIFS('Raw Readings'!$G$5:$G$20,'Raw Readings'!$B$5:$B$20,A9,'Raw Readings'!$C$5:$C$20,B9),0)</f>
        <v>3</v>
      </c>
    </row>
    <row r="10" spans="1:4" x14ac:dyDescent="0.25">
      <c r="A10" s="14" t="s">
        <v>38</v>
      </c>
      <c r="B10" s="14">
        <v>1000</v>
      </c>
      <c r="C10" s="17">
        <f>IFERROR(AVERAGEIFS('Raw Readings'!$H$5:$H$20,'Raw Readings'!$B$5:$B$20,A10,'Raw Readings'!$C$5:$C$20,B10),"")</f>
        <v>947.66666666666663</v>
      </c>
      <c r="D10" s="14">
        <f>IFERROR(SUMIFS('Raw Readings'!$G$5:$G$20,'Raw Readings'!$B$5:$B$20,A10,'Raw Readings'!$C$5:$C$20,B10),0)</f>
        <v>3</v>
      </c>
    </row>
    <row r="11" spans="1:4" x14ac:dyDescent="0.25">
      <c r="A11" s="14" t="s">
        <v>38</v>
      </c>
      <c r="B11" s="14">
        <v>1200</v>
      </c>
      <c r="C11" s="17">
        <f>IFERROR(AVERAGEIFS('Raw Readings'!$H$5:$H$20,'Raw Readings'!$B$5:$B$20,A11,'Raw Readings'!$C$5:$C$20,B11),"")</f>
        <v>1168</v>
      </c>
      <c r="D11" s="14">
        <f>IFERROR(SUMIFS('Raw Readings'!$G$5:$G$20,'Raw Readings'!$B$5:$B$20,A11,'Raw Readings'!$C$5:$C$20,B11),0)</f>
        <v>3</v>
      </c>
    </row>
    <row r="12" spans="1:4" x14ac:dyDescent="0.25">
      <c r="A12" s="14" t="s">
        <v>38</v>
      </c>
      <c r="B12" s="14">
        <v>1400</v>
      </c>
      <c r="C12" s="17">
        <f>IFERROR(AVERAGEIFS('Raw Readings'!$H$5:$H$20,'Raw Readings'!$B$5:$B$20,A12,'Raw Readings'!$C$5:$C$20,B12),"")</f>
        <v>1284.3333333333333</v>
      </c>
      <c r="D12" s="14">
        <f>IFERROR(SUMIFS('Raw Readings'!$G$5:$G$20,'Raw Readings'!$B$5:$B$20,A12,'Raw Readings'!$C$5:$C$20,B12),0)</f>
        <v>3</v>
      </c>
    </row>
    <row r="14" spans="1:4" x14ac:dyDescent="0.25">
      <c r="A14" s="14" t="s">
        <v>39</v>
      </c>
      <c r="B14" s="14">
        <v>100</v>
      </c>
      <c r="C14" s="17">
        <f>IFERROR(AVERAGEIFS('Raw Readings'!$H$5:$H$20,'Raw Readings'!$B$5:$B$20,A14,'Raw Readings'!$C$5:$C$20,B14),"")</f>
        <v>91</v>
      </c>
      <c r="D14" s="14">
        <f>IFERROR(SUMIFS('Raw Readings'!$G$5:$G$20,'Raw Readings'!$B$5:$B$20,A14,'Raw Readings'!$C$5:$C$20,B14),0)</f>
        <v>3</v>
      </c>
    </row>
    <row r="15" spans="1:4" x14ac:dyDescent="0.25">
      <c r="A15" s="14" t="s">
        <v>39</v>
      </c>
      <c r="B15" s="14">
        <v>200</v>
      </c>
      <c r="C15" s="17">
        <f>IFERROR(AVERAGEIFS('Raw Readings'!$H$5:$H$20,'Raw Readings'!$B$5:$B$20,A15,'Raw Readings'!$C$5:$C$20,B15),"")</f>
        <v>180</v>
      </c>
      <c r="D15" s="14">
        <f>IFERROR(SUMIFS('Raw Readings'!$G$5:$G$20,'Raw Readings'!$B$5:$B$20,A15,'Raw Readings'!$C$5:$C$20,B15),0)</f>
        <v>3</v>
      </c>
    </row>
    <row r="16" spans="1:4" x14ac:dyDescent="0.25">
      <c r="A16" s="14" t="s">
        <v>39</v>
      </c>
      <c r="B16" s="14">
        <v>400</v>
      </c>
      <c r="C16" s="17">
        <f>IFERROR(AVERAGEIFS('Raw Readings'!$H$5:$H$20,'Raw Readings'!$B$5:$B$20,A16,'Raw Readings'!$C$5:$C$20,B16),"")</f>
        <v>370.66666666666669</v>
      </c>
      <c r="D16" s="14">
        <f>IFERROR(SUMIFS('Raw Readings'!$G$5:$G$20,'Raw Readings'!$B$5:$B$20,A16,'Raw Readings'!$C$5:$C$20,B16),0)</f>
        <v>3</v>
      </c>
    </row>
    <row r="17" spans="1:4" x14ac:dyDescent="0.25">
      <c r="A17" s="14" t="s">
        <v>39</v>
      </c>
      <c r="B17" s="14">
        <v>600</v>
      </c>
      <c r="C17" s="17">
        <f>IFERROR(AVERAGEIFS('Raw Readings'!$H$5:$H$20,'Raw Readings'!$B$5:$B$20,A17,'Raw Readings'!$C$5:$C$20,B17),"")</f>
        <v>562.33333333333337</v>
      </c>
      <c r="D17" s="14">
        <f>IFERROR(SUMIFS('Raw Readings'!$G$5:$G$20,'Raw Readings'!$B$5:$B$20,A17,'Raw Readings'!$C$5:$C$20,B17),0)</f>
        <v>3</v>
      </c>
    </row>
    <row r="18" spans="1:4" x14ac:dyDescent="0.25">
      <c r="A18" s="14" t="s">
        <v>39</v>
      </c>
      <c r="B18" s="14">
        <v>800</v>
      </c>
      <c r="C18" s="17">
        <f>IFERROR(AVERAGEIFS('Raw Readings'!$H$5:$H$20,'Raw Readings'!$B$5:$B$20,A18,'Raw Readings'!$C$5:$C$20,B18),"")</f>
        <v>710.66666666666663</v>
      </c>
      <c r="D18" s="14">
        <f>IFERROR(SUMIFS('Raw Readings'!$G$5:$G$20,'Raw Readings'!$B$5:$B$20,A18,'Raw Readings'!$C$5:$C$20,B18),0)</f>
        <v>3</v>
      </c>
    </row>
    <row r="19" spans="1:4" x14ac:dyDescent="0.25">
      <c r="A19" s="14" t="s">
        <v>39</v>
      </c>
      <c r="B19" s="14">
        <v>1000</v>
      </c>
      <c r="C19" s="17">
        <f>IFERROR(AVERAGEIFS('Raw Readings'!$H$5:$H$20,'Raw Readings'!$B$5:$B$20,A19,'Raw Readings'!$C$5:$C$20,B19),"")</f>
        <v>938.66666666666663</v>
      </c>
      <c r="D19" s="14">
        <f>IFERROR(SUMIFS('Raw Readings'!$G$5:$G$20,'Raw Readings'!$B$5:$B$20,A19,'Raw Readings'!$C$5:$C$20,B19),0)</f>
        <v>3</v>
      </c>
    </row>
    <row r="20" spans="1:4" x14ac:dyDescent="0.25">
      <c r="A20" s="14" t="s">
        <v>39</v>
      </c>
      <c r="B20" s="14">
        <v>1200</v>
      </c>
      <c r="C20" s="17">
        <f>IFERROR(AVERAGEIFS('Raw Readings'!$H$5:$H$20,'Raw Readings'!$B$5:$B$20,A20,'Raw Readings'!$C$5:$C$20,B20),"")</f>
        <v>1073.3333333333333</v>
      </c>
      <c r="D20" s="14">
        <f>IFERROR(SUMIFS('Raw Readings'!$G$5:$G$20,'Raw Readings'!$B$5:$B$20,A20,'Raw Readings'!$C$5:$C$20,B20),0)</f>
        <v>3</v>
      </c>
    </row>
    <row r="21" spans="1:4" x14ac:dyDescent="0.25">
      <c r="A21" s="14" t="s">
        <v>39</v>
      </c>
      <c r="B21" s="14">
        <v>1400</v>
      </c>
      <c r="C21" s="17">
        <f>IFERROR(AVERAGEIFS('Raw Readings'!$H$5:$H$20,'Raw Readings'!$B$5:$B$20,A21,'Raw Readings'!$C$5:$C$20,B21),"")</f>
        <v>1280</v>
      </c>
      <c r="D21" s="14">
        <f>IFERROR(SUMIFS('Raw Readings'!$G$5:$G$20,'Raw Readings'!$B$5:$B$20,A21,'Raw Readings'!$C$5:$C$20,B21),0)</f>
        <v>3</v>
      </c>
    </row>
    <row r="23" spans="1:4" x14ac:dyDescent="0.25">
      <c r="A23" s="14" t="s">
        <v>42</v>
      </c>
      <c r="B23" s="14">
        <v>100</v>
      </c>
      <c r="C23" s="17" t="str">
        <f>IFERROR(AVERAGEIFS('Raw Readings'!$H$5:$H$20,'Raw Readings'!$B$5:$B$20,A23,'Raw Readings'!$C$5:$C$20,B23),"")</f>
        <v/>
      </c>
      <c r="D23" s="14">
        <f>IFERROR(SUMIFS('Raw Readings'!$G$5:$G$20,'Raw Readings'!$B$5:$B$20,A23,'Raw Readings'!$C$5:$C$20,B23),0)</f>
        <v>0</v>
      </c>
    </row>
    <row r="24" spans="1:4" x14ac:dyDescent="0.25">
      <c r="A24" s="14" t="s">
        <v>42</v>
      </c>
      <c r="B24" s="14">
        <v>200</v>
      </c>
      <c r="C24" s="17" t="str">
        <f>IFERROR(AVERAGEIFS('Raw Readings'!$H$5:$H$20,'Raw Readings'!$B$5:$B$20,A24,'Raw Readings'!$C$5:$C$20,B24),"")</f>
        <v/>
      </c>
      <c r="D24" s="14">
        <f>IFERROR(SUMIFS('Raw Readings'!$G$5:$G$20,'Raw Readings'!$B$5:$B$20,A24,'Raw Readings'!$C$5:$C$20,B24),0)</f>
        <v>0</v>
      </c>
    </row>
    <row r="25" spans="1:4" x14ac:dyDescent="0.25">
      <c r="A25" s="14" t="s">
        <v>42</v>
      </c>
      <c r="B25" s="14">
        <v>400</v>
      </c>
      <c r="C25" s="17" t="str">
        <f>IFERROR(AVERAGEIFS('Raw Readings'!$H$5:$H$20,'Raw Readings'!$B$5:$B$20,A25,'Raw Readings'!$C$5:$C$20,B25),"")</f>
        <v/>
      </c>
      <c r="D25" s="14">
        <f>IFERROR(SUMIFS('Raw Readings'!$G$5:$G$20,'Raw Readings'!$B$5:$B$20,A25,'Raw Readings'!$C$5:$C$20,B25),0)</f>
        <v>0</v>
      </c>
    </row>
    <row r="26" spans="1:4" x14ac:dyDescent="0.25">
      <c r="A26" s="14" t="s">
        <v>42</v>
      </c>
      <c r="B26" s="14">
        <v>600</v>
      </c>
      <c r="C26" s="17" t="str">
        <f>IFERROR(AVERAGEIFS('Raw Readings'!$H$5:$H$20,'Raw Readings'!$B$5:$B$20,A26,'Raw Readings'!$C$5:$C$20,B26),"")</f>
        <v/>
      </c>
      <c r="D26" s="14">
        <f>IFERROR(SUMIFS('Raw Readings'!$G$5:$G$20,'Raw Readings'!$B$5:$B$20,A26,'Raw Readings'!$C$5:$C$20,B26),0)</f>
        <v>0</v>
      </c>
    </row>
    <row r="27" spans="1:4" x14ac:dyDescent="0.25">
      <c r="A27" s="14" t="s">
        <v>42</v>
      </c>
      <c r="B27" s="14">
        <v>800</v>
      </c>
      <c r="C27" s="17" t="str">
        <f>IFERROR(AVERAGEIFS('Raw Readings'!$H$5:$H$20,'Raw Readings'!$B$5:$B$20,A27,'Raw Readings'!$C$5:$C$20,B27),"")</f>
        <v/>
      </c>
      <c r="D27" s="14">
        <f>IFERROR(SUMIFS('Raw Readings'!$G$5:$G$20,'Raw Readings'!$B$5:$B$20,A27,'Raw Readings'!$C$5:$C$20,B27),0)</f>
        <v>0</v>
      </c>
    </row>
    <row r="28" spans="1:4" x14ac:dyDescent="0.25">
      <c r="A28" s="14" t="s">
        <v>42</v>
      </c>
      <c r="B28" s="14">
        <v>1000</v>
      </c>
      <c r="C28" s="17" t="str">
        <f>IFERROR(AVERAGEIFS('Raw Readings'!$H$5:$H$20,'Raw Readings'!$B$5:$B$20,A28,'Raw Readings'!$C$5:$C$20,B28),"")</f>
        <v/>
      </c>
      <c r="D28" s="14">
        <f>IFERROR(SUMIFS('Raw Readings'!$G$5:$G$20,'Raw Readings'!$B$5:$B$20,A28,'Raw Readings'!$C$5:$C$20,B28),0)</f>
        <v>0</v>
      </c>
    </row>
    <row r="29" spans="1:4" x14ac:dyDescent="0.25">
      <c r="A29" s="14" t="s">
        <v>42</v>
      </c>
      <c r="B29" s="14">
        <v>1200</v>
      </c>
      <c r="C29" s="17" t="str">
        <f>IFERROR(AVERAGEIFS('Raw Readings'!$H$5:$H$20,'Raw Readings'!$B$5:$B$20,A29,'Raw Readings'!$C$5:$C$20,B29),"")</f>
        <v/>
      </c>
      <c r="D29" s="14">
        <f>IFERROR(SUMIFS('Raw Readings'!$G$5:$G$20,'Raw Readings'!$B$5:$B$20,A29,'Raw Readings'!$C$5:$C$20,B29),0)</f>
        <v>0</v>
      </c>
    </row>
    <row r="30" spans="1:4" x14ac:dyDescent="0.25">
      <c r="A30" s="14" t="s">
        <v>42</v>
      </c>
      <c r="B30" s="14">
        <v>1400</v>
      </c>
      <c r="C30" s="17" t="str">
        <f>IFERROR(AVERAGEIFS('Raw Readings'!$H$5:$H$20,'Raw Readings'!$B$5:$B$20,A30,'Raw Readings'!$C$5:$C$20,B30),"")</f>
        <v/>
      </c>
      <c r="D30" s="14">
        <f>IFERROR(SUMIFS('Raw Readings'!$G$5:$G$20,'Raw Readings'!$B$5:$B$20,A30,'Raw Readings'!$C$5:$C$20,B30),0)</f>
        <v>0</v>
      </c>
    </row>
    <row r="33" spans="1:4" x14ac:dyDescent="0.25">
      <c r="A33" s="3" t="s">
        <v>43</v>
      </c>
    </row>
    <row r="34" spans="1:4" x14ac:dyDescent="0.25">
      <c r="A34" s="19" t="s">
        <v>25</v>
      </c>
      <c r="B34" s="19" t="s">
        <v>44</v>
      </c>
      <c r="C34" s="19" t="s">
        <v>45</v>
      </c>
      <c r="D34" s="19" t="s">
        <v>46</v>
      </c>
    </row>
    <row r="35" spans="1:4" x14ac:dyDescent="0.25">
      <c r="A35" s="14" t="s">
        <v>38</v>
      </c>
      <c r="B35" s="20">
        <f>IFERROR(SLOPE($B$5:$B$12,$C$5:$C$12),"Need &gt;=2 distances")</f>
        <v>1.055613928777517</v>
      </c>
      <c r="C35" s="17">
        <f>IFERROR(INTERCEPT($B$5:$B$12,$C$5:$C$12),"Need &gt;=2 distances")</f>
        <v>8.625429073891496</v>
      </c>
      <c r="D35" s="20">
        <f>IFERROR(RSQ($B$5:$B$12,$C$5:$C$12),"Need &gt;=2 distances")</f>
        <v>0.99788601828448342</v>
      </c>
    </row>
    <row r="36" spans="1:4" x14ac:dyDescent="0.25">
      <c r="A36" s="14" t="s">
        <v>39</v>
      </c>
      <c r="B36" s="20">
        <f>IFERROR(SLOPE($B$14:$B$21,$C$14:$C$21),"Need &gt;=2 distances")</f>
        <v>1.0982747468949396</v>
      </c>
      <c r="C36" s="17">
        <f>IFERROR(INTERCEPT($B$14:$B$21,$C$14:$C$21),"Need &gt;=2 distances")</f>
        <v>-2.2938144374564899</v>
      </c>
      <c r="D36" s="20">
        <f>IFERROR(RSQ($B$14:$B$21,$C$14:$C$21),"Need &gt;=2 distances")</f>
        <v>0.99861746773628324</v>
      </c>
    </row>
    <row r="37" spans="1:4" x14ac:dyDescent="0.25">
      <c r="A37" s="14"/>
      <c r="B37" s="20"/>
      <c r="C37" s="17"/>
      <c r="D37" s="20"/>
    </row>
    <row r="39" spans="1:4" x14ac:dyDescent="0.25">
      <c r="A39" s="3" t="s">
        <v>47</v>
      </c>
    </row>
    <row r="40" spans="1:4" x14ac:dyDescent="0.25">
      <c r="A40" s="19" t="s">
        <v>25</v>
      </c>
      <c r="B40" s="19" t="s">
        <v>48</v>
      </c>
      <c r="C40" s="19" t="s">
        <v>49</v>
      </c>
    </row>
    <row r="41" spans="1:4" x14ac:dyDescent="0.25">
      <c r="A41" s="14" t="s">
        <v>38</v>
      </c>
      <c r="B41" s="21"/>
      <c r="C41" s="14">
        <f>IFERROR($B$35*B41+$C$35,"")</f>
        <v>8.625429073891496</v>
      </c>
    </row>
    <row r="42" spans="1:4" x14ac:dyDescent="0.25">
      <c r="A42" s="14" t="s">
        <v>39</v>
      </c>
      <c r="B42" s="21"/>
      <c r="C42" s="14">
        <f>IFERROR($B$36*B42+$C$36,"")</f>
        <v>-2.2938144374564899</v>
      </c>
    </row>
    <row r="43" spans="1:4" x14ac:dyDescent="0.25">
      <c r="A43" s="14" t="s">
        <v>42</v>
      </c>
      <c r="B43" s="21"/>
      <c r="C43" s="14">
        <f>IFERROR($B$37*B43+$C$37,"")</f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 Readings</vt:lpstr>
      <vt:lpstr>Calibration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Norin</cp:lastModifiedBy>
  <dcterms:created xsi:type="dcterms:W3CDTF">2026-09-04T00:40:06Z</dcterms:created>
  <dcterms:modified xsi:type="dcterms:W3CDTF">2026-09-21T23:57:16Z</dcterms:modified>
</cp:coreProperties>
</file>